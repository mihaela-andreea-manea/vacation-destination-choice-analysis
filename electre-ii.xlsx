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ela\Desktop\Licenta\"/>
    </mc:Choice>
  </mc:AlternateContent>
  <xr:revisionPtr revIDLastSave="0" documentId="13_ncr:1_{36312957-3D19-401E-838C-EA2CD584E9C2}" xr6:coauthVersionLast="47" xr6:coauthVersionMax="47" xr10:uidLastSave="{00000000-0000-0000-0000-000000000000}"/>
  <bookViews>
    <workbookView xWindow="0" yWindow="360" windowWidth="23256" windowHeight="12456" xr2:uid="{0434EA72-4598-4A3E-A929-972ECDDECE94}"/>
  </bookViews>
  <sheets>
    <sheet name="Electr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C21" i="1"/>
  <c r="F67" i="1"/>
  <c r="F68" i="1"/>
  <c r="F69" i="1"/>
  <c r="F70" i="1"/>
  <c r="F71" i="1"/>
  <c r="C74" i="1"/>
  <c r="C75" i="1"/>
  <c r="C73" i="1"/>
  <c r="C72" i="1"/>
  <c r="C71" i="1"/>
  <c r="C69" i="1"/>
  <c r="C68" i="1"/>
  <c r="C67" i="1"/>
  <c r="C66" i="1"/>
  <c r="C65" i="1"/>
  <c r="C56" i="1"/>
  <c r="C55" i="1"/>
  <c r="F52" i="1"/>
  <c r="G51" i="1"/>
  <c r="E52" i="1"/>
  <c r="G50" i="1"/>
  <c r="E51" i="1"/>
  <c r="F50" i="1"/>
  <c r="D52" i="1"/>
  <c r="G49" i="1"/>
  <c r="D51" i="1"/>
  <c r="F49" i="1"/>
  <c r="D50" i="1"/>
  <c r="J33" i="1"/>
  <c r="E49" i="1"/>
  <c r="C52" i="1"/>
  <c r="G48" i="1"/>
  <c r="C51" i="1"/>
  <c r="F48" i="1"/>
  <c r="C50" i="1"/>
  <c r="E48" i="1"/>
  <c r="C49" i="1"/>
  <c r="D48" i="1"/>
  <c r="J48" i="1"/>
  <c r="J47" i="1"/>
  <c r="F44" i="1"/>
  <c r="G43" i="1"/>
  <c r="E44" i="1"/>
  <c r="G42" i="1"/>
  <c r="E43" i="1"/>
  <c r="F42" i="1"/>
  <c r="D44" i="1"/>
  <c r="G41" i="1"/>
  <c r="D43" i="1"/>
  <c r="F41" i="1"/>
  <c r="D42" i="1"/>
  <c r="E41" i="1"/>
  <c r="C44" i="1"/>
  <c r="G40" i="1"/>
  <c r="C43" i="1"/>
  <c r="F40" i="1"/>
  <c r="C42" i="1"/>
  <c r="E40" i="1"/>
  <c r="C41" i="1"/>
  <c r="D40" i="1"/>
  <c r="J32" i="1"/>
  <c r="J34" i="1"/>
  <c r="J35" i="1"/>
  <c r="J31" i="1"/>
  <c r="I32" i="1"/>
  <c r="I33" i="1"/>
  <c r="I34" i="1"/>
  <c r="I35" i="1"/>
  <c r="I31" i="1"/>
  <c r="H32" i="1"/>
  <c r="H33" i="1"/>
  <c r="H34" i="1"/>
  <c r="H35" i="1"/>
  <c r="H31" i="1"/>
  <c r="G32" i="1"/>
  <c r="G33" i="1"/>
  <c r="G34" i="1"/>
  <c r="G35" i="1"/>
  <c r="G31" i="1"/>
  <c r="F32" i="1"/>
  <c r="F33" i="1"/>
  <c r="F34" i="1"/>
  <c r="F35" i="1"/>
  <c r="F31" i="1"/>
  <c r="E32" i="1"/>
  <c r="E33" i="1"/>
  <c r="E34" i="1"/>
  <c r="E35" i="1"/>
  <c r="E31" i="1"/>
  <c r="D32" i="1"/>
  <c r="D33" i="1"/>
  <c r="D34" i="1"/>
  <c r="D35" i="1"/>
  <c r="D31" i="1"/>
  <c r="C32" i="1"/>
  <c r="C33" i="1"/>
  <c r="C34" i="1"/>
  <c r="C35" i="1"/>
  <c r="C31" i="1"/>
  <c r="J17" i="1"/>
  <c r="I17" i="1"/>
  <c r="H17" i="1"/>
  <c r="G17" i="1"/>
  <c r="F17" i="1"/>
  <c r="E17" i="1"/>
  <c r="D17" i="1"/>
  <c r="C17" i="1"/>
  <c r="J13" i="1"/>
  <c r="J14" i="1"/>
  <c r="J15" i="1"/>
  <c r="J16" i="1"/>
  <c r="J12" i="1"/>
  <c r="I13" i="1"/>
  <c r="I14" i="1"/>
  <c r="I15" i="1"/>
  <c r="I16" i="1"/>
  <c r="I12" i="1"/>
  <c r="H13" i="1"/>
  <c r="H14" i="1"/>
  <c r="H15" i="1"/>
  <c r="H16" i="1"/>
  <c r="H12" i="1"/>
  <c r="G13" i="1"/>
  <c r="G14" i="1"/>
  <c r="G15" i="1"/>
  <c r="G16" i="1"/>
  <c r="G12" i="1"/>
  <c r="F13" i="1"/>
  <c r="F14" i="1"/>
  <c r="F15" i="1"/>
  <c r="F16" i="1"/>
  <c r="F12" i="1"/>
  <c r="E13" i="1"/>
  <c r="E14" i="1"/>
  <c r="E15" i="1"/>
  <c r="E16" i="1"/>
  <c r="E12" i="1"/>
  <c r="D13" i="1"/>
  <c r="D14" i="1"/>
  <c r="D15" i="1"/>
  <c r="D16" i="1"/>
  <c r="D12" i="1"/>
  <c r="C13" i="1"/>
  <c r="C14" i="1"/>
  <c r="C15" i="1"/>
  <c r="C16" i="1"/>
  <c r="C12" i="1"/>
  <c r="D9" i="1"/>
  <c r="E9" i="1"/>
  <c r="F9" i="1"/>
  <c r="G9" i="1"/>
  <c r="H9" i="1"/>
  <c r="I9" i="1"/>
  <c r="J9" i="1"/>
  <c r="C9" i="1"/>
  <c r="D8" i="1"/>
  <c r="E8" i="1"/>
  <c r="F8" i="1"/>
  <c r="G8" i="1"/>
  <c r="H8" i="1"/>
  <c r="I8" i="1"/>
  <c r="J8" i="1"/>
  <c r="C8" i="1"/>
  <c r="D20" i="1"/>
  <c r="D22" i="1"/>
  <c r="D23" i="1"/>
  <c r="D24" i="1"/>
  <c r="D25" i="1"/>
  <c r="D26" i="1"/>
  <c r="D19" i="1"/>
  <c r="C27" i="1"/>
  <c r="C26" i="1"/>
  <c r="C25" i="1"/>
  <c r="C24" i="1"/>
  <c r="C23" i="1"/>
  <c r="C22" i="1"/>
  <c r="C20" i="1"/>
  <c r="C19" i="1"/>
  <c r="J7" i="1"/>
  <c r="J6" i="1"/>
  <c r="J5" i="1"/>
  <c r="J4" i="1"/>
  <c r="J3" i="1"/>
  <c r="I7" i="1"/>
  <c r="I6" i="1"/>
  <c r="I5" i="1"/>
  <c r="I4" i="1"/>
  <c r="I3" i="1"/>
  <c r="H3" i="1"/>
  <c r="H7" i="1"/>
  <c r="H6" i="1"/>
  <c r="H5" i="1"/>
  <c r="H4" i="1"/>
  <c r="G7" i="1"/>
  <c r="G6" i="1"/>
  <c r="G5" i="1"/>
  <c r="G4" i="1"/>
  <c r="G3" i="1"/>
  <c r="F7" i="1"/>
  <c r="F6" i="1"/>
  <c r="F5" i="1"/>
  <c r="F4" i="1"/>
  <c r="F3" i="1"/>
  <c r="E7" i="1"/>
  <c r="E6" i="1"/>
  <c r="E5" i="1"/>
  <c r="E4" i="1"/>
  <c r="E3" i="1"/>
  <c r="D7" i="1"/>
  <c r="D6" i="1"/>
  <c r="D5" i="1"/>
  <c r="D4" i="1"/>
  <c r="D3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<sst xmlns="http://schemas.openxmlformats.org/spreadsheetml/2006/main" count="155" uniqueCount="65">
  <si>
    <t>A</t>
  </si>
  <si>
    <t>C1</t>
  </si>
  <si>
    <t>C2</t>
  </si>
  <si>
    <t>C3</t>
  </si>
  <si>
    <t>C4</t>
  </si>
  <si>
    <t>C5</t>
  </si>
  <si>
    <t>C6</t>
  </si>
  <si>
    <t>C7</t>
  </si>
  <si>
    <t>C8</t>
  </si>
  <si>
    <t>Barcelona</t>
  </si>
  <si>
    <t>Roma</t>
  </si>
  <si>
    <t>Budapesta</t>
  </si>
  <si>
    <t>Atena</t>
  </si>
  <si>
    <t>Istanbul</t>
  </si>
  <si>
    <t>R</t>
  </si>
  <si>
    <t>P1: normalizarea matricei</t>
  </si>
  <si>
    <t>suma</t>
  </si>
  <si>
    <t>suma^2</t>
  </si>
  <si>
    <t>radical</t>
  </si>
  <si>
    <t>pij</t>
  </si>
  <si>
    <t>T</t>
  </si>
  <si>
    <t>MAX</t>
  </si>
  <si>
    <t>c</t>
  </si>
  <si>
    <t>d</t>
  </si>
  <si>
    <t>alfa=</t>
  </si>
  <si>
    <t>1/alfa=</t>
  </si>
  <si>
    <t>p=</t>
  </si>
  <si>
    <t>q=</t>
  </si>
  <si>
    <t>*Roma surclaseaza Barcelona, Atena, Istanbul, Budapesta</t>
  </si>
  <si>
    <t>*Istanbul surclaseaza Atena</t>
  </si>
  <si>
    <t>*Budapesta surclaseaza Atena</t>
  </si>
  <si>
    <t>Nu iese un clasament</t>
  </si>
  <si>
    <t>inseamna Roma=V*</t>
  </si>
  <si>
    <t>D1</t>
  </si>
  <si>
    <t>D2</t>
  </si>
  <si>
    <t>D3</t>
  </si>
  <si>
    <t>D4</t>
  </si>
  <si>
    <t>D5</t>
  </si>
  <si>
    <t>1. Roma</t>
  </si>
  <si>
    <t>2. Istanbul</t>
  </si>
  <si>
    <t>3. Barcelona</t>
  </si>
  <si>
    <t>4. la egalitate Atena si Budapesta</t>
  </si>
  <si>
    <t>Relație de surclasare</t>
  </si>
  <si>
    <t>Interpretare</t>
  </si>
  <si>
    <t>Roma surclasează Barcelona</t>
  </si>
  <si>
    <t>Roma este preferată pe baza criteriilor analizate</t>
  </si>
  <si>
    <t>Roma surclasează Atena</t>
  </si>
  <si>
    <t>Roma surclasează Istanbul</t>
  </si>
  <si>
    <t>Roma surclasează Budapesta</t>
  </si>
  <si>
    <t>Istanbul surclasează Atena</t>
  </si>
  <si>
    <t>Istanbul are avantaj multicriterial față de Atena</t>
  </si>
  <si>
    <t>Budapesta surclasează Atena</t>
  </si>
  <si>
    <t>Budapesta are avantaj multicriterial față de Atena</t>
  </si>
  <si>
    <t>Destinație</t>
  </si>
  <si>
    <t>Rang final</t>
  </si>
  <si>
    <t>Poziție în clasament</t>
  </si>
  <si>
    <t>P3:matricea coeficienților de concordanță</t>
  </si>
  <si>
    <t>P2:matricea consecințelor ponderate</t>
  </si>
  <si>
    <t>Coeficienții de importanță: (din sectiunea 5)</t>
  </si>
  <si>
    <t>P4:matricea coeficienților de discordanță</t>
  </si>
  <si>
    <t>P5:criteriile de surclasare</t>
  </si>
  <si>
    <t>P6: indicii de concordanță si discordanță pură</t>
  </si>
  <si>
    <t>P7: ordonările variantelor decizionale</t>
  </si>
  <si>
    <t>Clasamentul este:</t>
  </si>
  <si>
    <t>Medie ranguri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</si>
</sst>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64" fontId="0" fillId="0" borderId="1" xfId="0" applyNumberFormat="1" applyBorder="1"/>
    <xf numFmtId="16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01EF7-6536-4CA2-88D6-90BF93D66D27}">
  <dimension ref="B1:J95"/>
  <sheetViews>
    <sheetView tabSelected="1" zoomScale="90" zoomScaleNormal="100" workbookViewId="0">
      <selection activeCell="D22" sqref="D22"/>
    </sheetView>
  </sheetViews>
  <sheetFormatPr defaultRowHeight="14.4" x14ac:dyDescent="0.3"/>
  <cols>
    <col min="2" max="2" width="12.21875" bestFit="1" customWidth="1"/>
    <col min="3" max="3" width="9.6640625" customWidth="1"/>
    <col min="4" max="4" width="9.5546875" bestFit="1" customWidth="1"/>
    <col min="5" max="5" width="11.109375" customWidth="1"/>
    <col min="6" max="6" width="9.5546875" bestFit="1" customWidth="1"/>
    <col min="7" max="7" width="12.21875" customWidth="1"/>
    <col min="8" max="8" width="9.5546875" bestFit="1" customWidth="1"/>
    <col min="9" max="9" width="9.5546875" customWidth="1"/>
    <col min="10" max="10" width="9.5546875" bestFit="1" customWidth="1"/>
  </cols>
  <sheetData>
    <row r="1" spans="2:10" x14ac:dyDescent="0.3">
      <c r="C1" t="s">
        <v>21</v>
      </c>
      <c r="D1" t="s">
        <v>21</v>
      </c>
      <c r="E1" t="s">
        <v>21</v>
      </c>
      <c r="F1" t="s">
        <v>21</v>
      </c>
      <c r="G1" t="s">
        <v>21</v>
      </c>
      <c r="H1" t="s">
        <v>21</v>
      </c>
      <c r="I1" t="s">
        <v>21</v>
      </c>
      <c r="J1" t="s">
        <v>21</v>
      </c>
    </row>
    <row r="2" spans="2:10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x14ac:dyDescent="0.3">
      <c r="B3" s="1" t="s">
        <v>9</v>
      </c>
      <c r="C3" s="1">
        <f>(1*16+2*67+3*118+4*63+5*21)/285</f>
        <v>3.0210526315789474</v>
      </c>
      <c r="D3" s="1">
        <f>(1*7+2*26+3*82+4*104+5*66)/285</f>
        <v>3.687719298245614</v>
      </c>
      <c r="E3" s="1">
        <f>(1*3+2*6+3*43+4*87+5*146)/285</f>
        <v>4.287719298245614</v>
      </c>
      <c r="F3" s="1">
        <f>(1*10+2*17+3*64+4*94+5*100)/285</f>
        <v>3.9017543859649124</v>
      </c>
      <c r="G3" s="1">
        <f>(1*5+2*23+3*106+4*111+5*40)/285</f>
        <v>3.5543859649122806</v>
      </c>
      <c r="H3" s="1">
        <f>(1*6+2*21+3*93+4*103+5*62)/285</f>
        <v>3.6807017543859648</v>
      </c>
      <c r="I3" s="1">
        <f>(1*2+2*6+3*51+4*70+5*156)/285</f>
        <v>4.3052631578947365</v>
      </c>
      <c r="J3" s="1">
        <f>(1*2+2*8+3*45+4*93+5*137)/285</f>
        <v>4.2456140350877192</v>
      </c>
    </row>
    <row r="4" spans="2:10" x14ac:dyDescent="0.3">
      <c r="B4" s="1" t="s">
        <v>10</v>
      </c>
      <c r="C4" s="1">
        <f>(1*10+2*38+3*113+4*79+5*45)/285</f>
        <v>3.3894736842105262</v>
      </c>
      <c r="D4" s="1">
        <f>(1*2+2*23+3*73+4*121+5*66)/285</f>
        <v>3.7929824561403507</v>
      </c>
      <c r="E4" s="1">
        <f>(1*0+2*8+3*47+4*82+5*148)/285</f>
        <v>4.2982456140350873</v>
      </c>
      <c r="F4" s="1">
        <f>(1*6+2*17+3*53+4*95+5*114)/285</f>
        <v>4.0315789473684207</v>
      </c>
      <c r="G4" s="1">
        <f>(1*3+2*14+3*99+4*119+5*50)/285</f>
        <v>3.6982456140350877</v>
      </c>
      <c r="H4" s="1">
        <f>(1*2+2*9+3*100+4*104+5*70)/285</f>
        <v>3.8105263157894735</v>
      </c>
      <c r="I4" s="1">
        <f>(1*0+2*12+3*78+4*88+5*106)/285</f>
        <v>4</v>
      </c>
      <c r="J4" s="1">
        <f>(1*2+2*2+3*48+4*98+5*135)/285</f>
        <v>4.2701754385964916</v>
      </c>
    </row>
    <row r="5" spans="2:10" x14ac:dyDescent="0.3">
      <c r="B5" s="1" t="s">
        <v>12</v>
      </c>
      <c r="C5" s="1">
        <f>(1*3+2*31+3*124+4*85+5*42)/285</f>
        <v>3.4631578947368422</v>
      </c>
      <c r="D5" s="1">
        <f>(1*7+2*25+3*66+4*119+5*68)/285</f>
        <v>3.7578947368421054</v>
      </c>
      <c r="E5" s="1">
        <f>(1*4+2*30+3*75+4*94+5*82)/285</f>
        <v>3.7719298245614037</v>
      </c>
      <c r="F5" s="1">
        <f>(1*6+2*19+3*90+4*84+5*86)/285</f>
        <v>3.7894736842105261</v>
      </c>
      <c r="G5" s="1">
        <f>(1*3+2*16+3*108+4*123+5*35)/285</f>
        <v>3.6</v>
      </c>
      <c r="H5" s="1">
        <f>(1*2+2*18+3*108+4*114+5*43)/285</f>
        <v>3.6245614035087721</v>
      </c>
      <c r="I5" s="1">
        <f>(1*4+2*26+3*115+4*82+5*58)/285</f>
        <v>3.5754385964912281</v>
      </c>
      <c r="J5" s="1">
        <f>(1*3+2*21+3*80+4*106+5*75)/285</f>
        <v>3.8035087719298244</v>
      </c>
    </row>
    <row r="6" spans="2:10" x14ac:dyDescent="0.3">
      <c r="B6" s="1" t="s">
        <v>13</v>
      </c>
      <c r="C6" s="1">
        <f>(1*6+2*25+3*90+4*86+5*78)/285</f>
        <v>3.7192982456140351</v>
      </c>
      <c r="D6" s="1">
        <f>(1*10+2*48+3*101+4*86+5*40)/285</f>
        <v>3.3438596491228072</v>
      </c>
      <c r="E6" s="1">
        <f>(1*9+2*16+3*63+4*98+5*99)/285</f>
        <v>3.9192982456140353</v>
      </c>
      <c r="F6" s="1">
        <f>(1*6+2*25+3*70+4*94+5*90)/285</f>
        <v>3.831578947368421</v>
      </c>
      <c r="G6" s="1">
        <f>(1*3+2*13+3*88+4*105+5*76)/285</f>
        <v>3.8350877192982455</v>
      </c>
      <c r="H6" s="1">
        <f>(1*3+2*20+3*82+4*106+5*74)/285</f>
        <v>3.8</v>
      </c>
      <c r="I6" s="1">
        <f>(1*7+2*28+3*91+4*89+5*70)/285</f>
        <v>3.6561403508771928</v>
      </c>
      <c r="J6" s="1">
        <f>(1*2+2*19+3*74+4*103+5*87)/285</f>
        <v>3.8912280701754387</v>
      </c>
    </row>
    <row r="7" spans="2:10" x14ac:dyDescent="0.3">
      <c r="B7" s="2" t="s">
        <v>11</v>
      </c>
      <c r="C7" s="1">
        <f>(1*9+2*35+3*100+4*90+5*51)/285</f>
        <v>3.4877192982456142</v>
      </c>
      <c r="D7" s="1">
        <f>(1*6+2*19+3*72+4*112+5*76)/285</f>
        <v>3.8175438596491227</v>
      </c>
      <c r="E7" s="1">
        <f>(1*13+2*37+3*89+4*84+5*62)/285</f>
        <v>3.5087719298245612</v>
      </c>
      <c r="F7" s="1">
        <f>(1*8+2*19+3*57+4*85+5*116)/285</f>
        <v>3.9894736842105263</v>
      </c>
      <c r="G7" s="1">
        <f>(1*6+2*28+3*99+4*105+5*47)/285</f>
        <v>3.5578947368421052</v>
      </c>
      <c r="H7" s="1">
        <f>(1*6+2*16+3*104+4*103+5*56)/285</f>
        <v>3.6561403508771928</v>
      </c>
      <c r="I7" s="1">
        <f>(1*8+2*20+3*108+4*90+5*59)/285</f>
        <v>3.6035087719298247</v>
      </c>
      <c r="J7" s="1">
        <f>(1*13+2*23+3*69+4*107+5*73)/285</f>
        <v>3.7157894736842105</v>
      </c>
    </row>
    <row r="8" spans="2:10" x14ac:dyDescent="0.3">
      <c r="B8" s="3" t="s">
        <v>17</v>
      </c>
      <c r="C8">
        <f>SUMSQ(C3:C7)</f>
        <v>58.606118805786394</v>
      </c>
      <c r="D8">
        <f t="shared" ref="D8:J8" si="0">SUMSQ(D3:D7)</f>
        <v>67.862800861803635</v>
      </c>
      <c r="E8">
        <f t="shared" si="0"/>
        <v>78.759285934133572</v>
      </c>
      <c r="F8">
        <f t="shared" si="0"/>
        <v>76.43432440750999</v>
      </c>
      <c r="G8">
        <f t="shared" si="0"/>
        <v>66.637192982456142</v>
      </c>
      <c r="H8">
        <f t="shared" si="0"/>
        <v>69.012483841181904</v>
      </c>
      <c r="I8">
        <f t="shared" si="0"/>
        <v>73.671689750692508</v>
      </c>
      <c r="J8">
        <f t="shared" si="0"/>
        <v>79.675063096337325</v>
      </c>
    </row>
    <row r="9" spans="2:10" x14ac:dyDescent="0.3">
      <c r="B9" t="s">
        <v>18</v>
      </c>
      <c r="C9">
        <f>SQRT(C8)</f>
        <v>7.6554633305755173</v>
      </c>
      <c r="D9">
        <f t="shared" ref="D9:J9" si="1">SQRT(D8)</f>
        <v>8.2378881311780159</v>
      </c>
      <c r="E9">
        <f t="shared" si="1"/>
        <v>8.8746428623428883</v>
      </c>
      <c r="F9">
        <f t="shared" si="1"/>
        <v>8.742672612394335</v>
      </c>
      <c r="G9">
        <f t="shared" si="1"/>
        <v>8.1631607225667278</v>
      </c>
      <c r="H9">
        <f t="shared" si="1"/>
        <v>8.307375267867819</v>
      </c>
      <c r="I9">
        <f t="shared" si="1"/>
        <v>8.5832214086957173</v>
      </c>
      <c r="J9">
        <f t="shared" si="1"/>
        <v>8.9260889025562218</v>
      </c>
    </row>
    <row r="10" spans="2:10" x14ac:dyDescent="0.3">
      <c r="B10" t="s">
        <v>15</v>
      </c>
    </row>
    <row r="11" spans="2:10" x14ac:dyDescent="0.3">
      <c r="B11" s="1" t="s">
        <v>14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1" t="s">
        <v>8</v>
      </c>
    </row>
    <row r="12" spans="2:10" x14ac:dyDescent="0.3">
      <c r="B12" s="1" t="s">
        <v>9</v>
      </c>
      <c r="C12" s="1">
        <f>C3/$C$9</f>
        <v>0.39462701356206908</v>
      </c>
      <c r="D12" s="1">
        <f>D3/$D$9</f>
        <v>0.44765348102854985</v>
      </c>
      <c r="E12" s="1">
        <f>E3/$E$9</f>
        <v>0.48314274329160606</v>
      </c>
      <c r="F12" s="1">
        <f>F3/$F$9</f>
        <v>0.44628851598920255</v>
      </c>
      <c r="G12" s="1">
        <f>G3/$G$9</f>
        <v>0.43541785905137509</v>
      </c>
      <c r="H12" s="1">
        <f>H3/$H$9</f>
        <v>0.44306434170881726</v>
      </c>
      <c r="I12" s="1">
        <f>I3/$I$9</f>
        <v>0.50159059785327764</v>
      </c>
      <c r="J12" s="1">
        <f>J3/$J$9</f>
        <v>0.47564102054505364</v>
      </c>
    </row>
    <row r="13" spans="2:10" x14ac:dyDescent="0.3">
      <c r="B13" s="1" t="s">
        <v>10</v>
      </c>
      <c r="C13" s="1">
        <f t="shared" ref="C13:C16" si="2">C4/$C$9</f>
        <v>0.44275225911841898</v>
      </c>
      <c r="D13" s="1">
        <f t="shared" ref="D13:D16" si="3">D4/$D$9</f>
        <v>0.4604314110293648</v>
      </c>
      <c r="E13" s="1">
        <f t="shared" ref="E13:E16" si="4">E4/$E$9</f>
        <v>0.48432885477268195</v>
      </c>
      <c r="F13" s="1">
        <f t="shared" ref="F13:F16" si="5">F4/$F$9</f>
        <v>0.46113804394927488</v>
      </c>
      <c r="G13" s="1">
        <f t="shared" ref="G13:G16" si="6">G4/$G$9</f>
        <v>0.45304089184614937</v>
      </c>
      <c r="H13" s="1">
        <f t="shared" ref="H13:H16" si="7">H4/$H$9</f>
        <v>0.45869196863276984</v>
      </c>
      <c r="I13" s="1">
        <f t="shared" ref="I13:I16" si="8">I4/$I$9</f>
        <v>0.46602549433800861</v>
      </c>
      <c r="J13" s="1">
        <f t="shared" ref="J13:J16" si="9">J4/$J$9</f>
        <v>0.47839266281266973</v>
      </c>
    </row>
    <row r="14" spans="2:10" x14ac:dyDescent="0.3">
      <c r="B14" s="1" t="s">
        <v>12</v>
      </c>
      <c r="C14" s="1">
        <f t="shared" si="2"/>
        <v>0.45237730822968897</v>
      </c>
      <c r="D14" s="1">
        <f t="shared" si="3"/>
        <v>0.45617210102909317</v>
      </c>
      <c r="E14" s="1">
        <f t="shared" si="4"/>
        <v>0.42502328071888423</v>
      </c>
      <c r="F14" s="1">
        <f t="shared" si="5"/>
        <v>0.43344568099670749</v>
      </c>
      <c r="G14" s="1">
        <f t="shared" si="6"/>
        <v>0.44100564993752306</v>
      </c>
      <c r="H14" s="1">
        <f t="shared" si="7"/>
        <v>0.43630644898494592</v>
      </c>
      <c r="I14" s="1">
        <f t="shared" si="8"/>
        <v>0.41656138485125505</v>
      </c>
      <c r="J14" s="1">
        <f t="shared" si="9"/>
        <v>0.42611145972796538</v>
      </c>
    </row>
    <row r="15" spans="2:10" x14ac:dyDescent="0.3">
      <c r="B15" s="1" t="s">
        <v>13</v>
      </c>
      <c r="C15" s="1">
        <f t="shared" si="2"/>
        <v>0.48583581228315126</v>
      </c>
      <c r="D15" s="1">
        <f t="shared" si="3"/>
        <v>0.40591224302588774</v>
      </c>
      <c r="E15" s="1">
        <f t="shared" si="4"/>
        <v>0.4416288414539476</v>
      </c>
      <c r="F15" s="1">
        <f t="shared" si="5"/>
        <v>0.43826174411889313</v>
      </c>
      <c r="G15" s="1">
        <f t="shared" si="6"/>
        <v>0.46980426450459323</v>
      </c>
      <c r="H15" s="1">
        <f t="shared" si="7"/>
        <v>0.45742486374704394</v>
      </c>
      <c r="I15" s="1">
        <f t="shared" si="8"/>
        <v>0.42596365359667099</v>
      </c>
      <c r="J15" s="1">
        <f t="shared" si="9"/>
        <v>0.43593875354087974</v>
      </c>
    </row>
    <row r="16" spans="2:10" x14ac:dyDescent="0.3">
      <c r="B16" s="1" t="s">
        <v>11</v>
      </c>
      <c r="C16" s="1">
        <f t="shared" si="2"/>
        <v>0.45558565793344563</v>
      </c>
      <c r="D16" s="1">
        <f t="shared" si="3"/>
        <v>0.46341292802955492</v>
      </c>
      <c r="E16" s="1">
        <f t="shared" si="4"/>
        <v>0.39537049369198529</v>
      </c>
      <c r="F16" s="1">
        <f t="shared" si="5"/>
        <v>0.4563219808270893</v>
      </c>
      <c r="G16" s="1">
        <f t="shared" si="6"/>
        <v>0.4358476891195403</v>
      </c>
      <c r="H16" s="1">
        <f t="shared" si="7"/>
        <v>0.44010776364212356</v>
      </c>
      <c r="I16" s="1">
        <f t="shared" si="8"/>
        <v>0.41983173919748668</v>
      </c>
      <c r="J16" s="1">
        <f t="shared" si="9"/>
        <v>0.41628416591505107</v>
      </c>
    </row>
    <row r="17" spans="2:10" x14ac:dyDescent="0.3">
      <c r="B17" s="1" t="s">
        <v>19</v>
      </c>
      <c r="C17" s="1">
        <f>D19</f>
        <v>0.13503019844693703</v>
      </c>
      <c r="D17" s="1">
        <f>D20</f>
        <v>0.13071613459879206</v>
      </c>
      <c r="E17" s="1">
        <f>D21</f>
        <v>0.13556945642795515</v>
      </c>
      <c r="F17" s="1">
        <f>D22</f>
        <v>0.12661777394305437</v>
      </c>
      <c r="G17" s="1">
        <f>D23</f>
        <v>0.1362165660051769</v>
      </c>
      <c r="H17" s="1">
        <f>D24</f>
        <v>0.12100949094046592</v>
      </c>
      <c r="I17" s="1">
        <f>D25</f>
        <v>0.10105694564279552</v>
      </c>
      <c r="J17" s="1">
        <f>D26</f>
        <v>0.11378343399482313</v>
      </c>
    </row>
    <row r="18" spans="2:10" x14ac:dyDescent="0.3">
      <c r="B18" t="s">
        <v>58</v>
      </c>
    </row>
    <row r="19" spans="2:10" x14ac:dyDescent="0.3">
      <c r="B19" t="s">
        <v>1</v>
      </c>
      <c r="C19">
        <f>(1*2+2*6+3*29+4*89+5*159)/285</f>
        <v>4.3929824561403512</v>
      </c>
      <c r="D19">
        <f>C19/$C$27</f>
        <v>0.13503019844693703</v>
      </c>
    </row>
    <row r="20" spans="2:10" x14ac:dyDescent="0.3">
      <c r="B20" t="s">
        <v>2</v>
      </c>
      <c r="C20">
        <f>(1*2+2*5+3*49+4*92+5*137)/285</f>
        <v>4.2526315789473683</v>
      </c>
      <c r="D20">
        <f t="shared" ref="D20:D26" si="10">C20/$C$27</f>
        <v>0.13071613459879206</v>
      </c>
    </row>
    <row r="21" spans="2:10" x14ac:dyDescent="0.3">
      <c r="B21" t="s">
        <v>3</v>
      </c>
      <c r="C21">
        <f>(1*3+2*4+3*33+4*78+5*167)/285</f>
        <v>4.4105263157894736</v>
      </c>
      <c r="D21">
        <f>C21/$C$27</f>
        <v>0.13556945642795515</v>
      </c>
    </row>
    <row r="22" spans="2:10" x14ac:dyDescent="0.3">
      <c r="B22" t="s">
        <v>4</v>
      </c>
      <c r="C22">
        <f>(1*2+2*12+3*49+4*109+5*113)/285</f>
        <v>4.1192982456140355</v>
      </c>
      <c r="D22">
        <f t="shared" si="10"/>
        <v>0.12661777394305437</v>
      </c>
    </row>
    <row r="23" spans="2:10" x14ac:dyDescent="0.3">
      <c r="B23" t="s">
        <v>5</v>
      </c>
      <c r="C23">
        <f>(1*1+2*3+3*30+4*89+5*162)/285</f>
        <v>4.4315789473684211</v>
      </c>
      <c r="D23">
        <f t="shared" si="10"/>
        <v>0.1362165660051769</v>
      </c>
    </row>
    <row r="24" spans="2:10" x14ac:dyDescent="0.3">
      <c r="B24" t="s">
        <v>6</v>
      </c>
      <c r="C24">
        <f>(1*2+2*17+3*78+4*88+5*100)/285</f>
        <v>3.9368421052631577</v>
      </c>
      <c r="D24">
        <f t="shared" si="10"/>
        <v>0.12100949094046592</v>
      </c>
    </row>
    <row r="25" spans="2:10" x14ac:dyDescent="0.3">
      <c r="B25" t="s">
        <v>7</v>
      </c>
      <c r="C25">
        <f>(1*24+2*55+3*85+4*57+5*64)/285</f>
        <v>3.287719298245614</v>
      </c>
      <c r="D25">
        <f t="shared" si="10"/>
        <v>0.10105694564279552</v>
      </c>
    </row>
    <row r="26" spans="2:10" x14ac:dyDescent="0.3">
      <c r="B26" t="s">
        <v>8</v>
      </c>
      <c r="C26">
        <f>(1*1+2*30+3*70+4*101+5*76)/285</f>
        <v>3.7017543859649122</v>
      </c>
      <c r="D26">
        <f t="shared" si="10"/>
        <v>0.11378343399482313</v>
      </c>
    </row>
    <row r="27" spans="2:10" x14ac:dyDescent="0.3">
      <c r="B27" t="s">
        <v>16</v>
      </c>
      <c r="C27">
        <f>SUM(C19:C26)</f>
        <v>32.533333333333331</v>
      </c>
    </row>
    <row r="29" spans="2:10" x14ac:dyDescent="0.3">
      <c r="B29" t="s">
        <v>57</v>
      </c>
    </row>
    <row r="30" spans="2:10" x14ac:dyDescent="0.3">
      <c r="B30" s="1" t="s">
        <v>20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</row>
    <row r="31" spans="2:10" x14ac:dyDescent="0.3">
      <c r="B31" s="1" t="s">
        <v>9</v>
      </c>
      <c r="C31" s="4">
        <f>$C$17*C12</f>
        <v>5.3286563953808298E-2</v>
      </c>
      <c r="D31" s="4">
        <f>D12*$D$17</f>
        <v>5.8515532679745727E-2</v>
      </c>
      <c r="E31" s="4">
        <f>E12*$E$17</f>
        <v>6.5499399085154106E-2</v>
      </c>
      <c r="F31" s="4">
        <f>F12*$F$17</f>
        <v>5.6508058430902057E-2</v>
      </c>
      <c r="G31" s="4">
        <f>G12*$G$17</f>
        <v>5.9311125537304443E-2</v>
      </c>
      <c r="H31" s="4">
        <f>H12*$H$17</f>
        <v>5.3614990444056619E-2</v>
      </c>
      <c r="I31" s="4">
        <f>I12*$I$17</f>
        <v>5.0689213782195985E-2</v>
      </c>
      <c r="J31" s="4">
        <f>J12*$J$17</f>
        <v>5.4120068666418421E-2</v>
      </c>
    </row>
    <row r="32" spans="2:10" x14ac:dyDescent="0.3">
      <c r="B32" s="1" t="s">
        <v>10</v>
      </c>
      <c r="C32" s="4">
        <f t="shared" ref="C32:C35" si="11">$C$17*C13</f>
        <v>5.97849254115898E-2</v>
      </c>
      <c r="D32" s="4">
        <f t="shared" ref="D32:D35" si="12">D13*$D$17</f>
        <v>6.0185814297626199E-2</v>
      </c>
      <c r="E32" s="4">
        <f t="shared" ref="E32:E35" si="13">E13*$E$17</f>
        <v>6.5660199573906522E-2</v>
      </c>
      <c r="F32" s="4">
        <f t="shared" ref="F32:F35" si="14">F13*$F$17</f>
        <v>5.8388272605311556E-2</v>
      </c>
      <c r="G32" s="4">
        <f t="shared" ref="G32:G35" si="15">G13*$G$17</f>
        <v>6.1711674547205213E-2</v>
      </c>
      <c r="H32" s="4">
        <f t="shared" ref="H32:H35" si="16">H13*$H$17</f>
        <v>5.5506081622731643E-2</v>
      </c>
      <c r="I32" s="4">
        <f t="shared" ref="I32:I35" si="17">I13*$I$17</f>
        <v>4.7095113049473045E-2</v>
      </c>
      <c r="J32" s="4">
        <f t="shared" ref="J32:J35" si="18">J13*$J$17</f>
        <v>5.4433159972753081E-2</v>
      </c>
    </row>
    <row r="33" spans="2:10" x14ac:dyDescent="0.3">
      <c r="B33" s="1" t="s">
        <v>12</v>
      </c>
      <c r="C33" s="4">
        <f t="shared" si="11"/>
        <v>6.1084597703146101E-2</v>
      </c>
      <c r="D33" s="4">
        <f t="shared" si="12"/>
        <v>5.962905375833271E-2</v>
      </c>
      <c r="E33" s="4">
        <f t="shared" si="13"/>
        <v>5.7620175136285326E-2</v>
      </c>
      <c r="F33" s="4">
        <f t="shared" si="14"/>
        <v>5.4881927253034368E-2</v>
      </c>
      <c r="G33" s="4">
        <f t="shared" si="15"/>
        <v>6.0072275223370546E-2</v>
      </c>
      <c r="H33" s="4">
        <f t="shared" si="16"/>
        <v>5.2797221285710669E-2</v>
      </c>
      <c r="I33" s="4">
        <f t="shared" si="17"/>
        <v>4.2096421225800908E-2</v>
      </c>
      <c r="J33" s="4">
        <f>J14*$J$17</f>
        <v>4.8484425152394685E-2</v>
      </c>
    </row>
    <row r="34" spans="2:10" x14ac:dyDescent="0.3">
      <c r="B34" s="1" t="s">
        <v>13</v>
      </c>
      <c r="C34" s="4">
        <f t="shared" si="11"/>
        <v>6.5602506145222769E-2</v>
      </c>
      <c r="D34" s="4">
        <f t="shared" si="12"/>
        <v>5.3059279394669534E-2</v>
      </c>
      <c r="E34" s="4">
        <f t="shared" si="13"/>
        <v>5.9871381978819263E-2</v>
      </c>
      <c r="F34" s="4">
        <f t="shared" si="14"/>
        <v>5.5491726444734747E-2</v>
      </c>
      <c r="G34" s="4">
        <f t="shared" si="15"/>
        <v>6.3995123605403506E-2</v>
      </c>
      <c r="H34" s="4">
        <f t="shared" si="16"/>
        <v>5.5352749905541773E-2</v>
      </c>
      <c r="I34" s="4">
        <f t="shared" si="17"/>
        <v>4.3046585787325363E-2</v>
      </c>
      <c r="J34" s="4">
        <f t="shared" si="18"/>
        <v>4.9602608389304158E-2</v>
      </c>
    </row>
    <row r="35" spans="2:10" x14ac:dyDescent="0.3">
      <c r="B35" s="1" t="s">
        <v>11</v>
      </c>
      <c r="C35" s="4">
        <f t="shared" si="11"/>
        <v>6.1517821800331537E-2</v>
      </c>
      <c r="D35" s="4">
        <f t="shared" si="12"/>
        <v>6.0575546675131639E-2</v>
      </c>
      <c r="E35" s="4">
        <f t="shared" si="13"/>
        <v>5.3600162917474714E-2</v>
      </c>
      <c r="F35" s="4">
        <f t="shared" si="14"/>
        <v>5.7778473413611184E-2</v>
      </c>
      <c r="G35" s="4">
        <f t="shared" si="15"/>
        <v>5.9369675513155681E-2</v>
      </c>
      <c r="H35" s="4">
        <f t="shared" si="16"/>
        <v>5.3257216437280271E-2</v>
      </c>
      <c r="I35" s="4">
        <f t="shared" si="17"/>
        <v>4.2426913247200715E-2</v>
      </c>
      <c r="J35" s="4">
        <f t="shared" si="18"/>
        <v>4.7366241915485212E-2</v>
      </c>
    </row>
    <row r="36" spans="2:10" x14ac:dyDescent="0.3">
      <c r="B36" s="1" t="s">
        <v>19</v>
      </c>
      <c r="C36" s="4">
        <v>0.13503019844693703</v>
      </c>
      <c r="D36" s="4">
        <v>0.13071613459879206</v>
      </c>
      <c r="E36" s="4">
        <v>0.13556945642795515</v>
      </c>
      <c r="F36" s="4">
        <v>0.12661777394305437</v>
      </c>
      <c r="G36" s="4">
        <v>0.1362165660051769</v>
      </c>
      <c r="H36" s="4">
        <v>0.12100949094046592</v>
      </c>
      <c r="I36" s="4">
        <v>0.10105694564279552</v>
      </c>
      <c r="J36" s="4">
        <v>0.11378343399482313</v>
      </c>
    </row>
    <row r="38" spans="2:10" x14ac:dyDescent="0.3">
      <c r="B38" t="s">
        <v>56</v>
      </c>
      <c r="J38" s="5"/>
    </row>
    <row r="39" spans="2:10" x14ac:dyDescent="0.3">
      <c r="B39" s="1" t="s">
        <v>22</v>
      </c>
      <c r="C39" s="1" t="s">
        <v>9</v>
      </c>
      <c r="D39" s="1" t="s">
        <v>10</v>
      </c>
      <c r="E39" s="1" t="s">
        <v>12</v>
      </c>
      <c r="F39" s="1" t="s">
        <v>13</v>
      </c>
      <c r="G39" s="1" t="s">
        <v>11</v>
      </c>
    </row>
    <row r="40" spans="2:10" x14ac:dyDescent="0.3">
      <c r="B40" s="1" t="s">
        <v>9</v>
      </c>
      <c r="C40" s="1">
        <v>0</v>
      </c>
      <c r="D40" s="4">
        <f>I36</f>
        <v>0.10105694564279552</v>
      </c>
      <c r="E40" s="4">
        <f>E36+F36+H36+I36+J36</f>
        <v>0.59803710094909412</v>
      </c>
      <c r="F40" s="4">
        <f>D36+E36+F36+I36+J36</f>
        <v>0.60774374460742031</v>
      </c>
      <c r="G40" s="4">
        <f>E36+H36+I36+J36</f>
        <v>0.47141932700603972</v>
      </c>
    </row>
    <row r="41" spans="2:10" x14ac:dyDescent="0.3">
      <c r="B41" s="1" t="s">
        <v>10</v>
      </c>
      <c r="C41" s="4">
        <f>C36+D36+E36+F36+G36+H36+J36</f>
        <v>0.89894305435720456</v>
      </c>
      <c r="D41" s="1">
        <v>0</v>
      </c>
      <c r="E41" s="4">
        <f>D36+E36+F36+G36+H36+I36+J36</f>
        <v>0.86496980155306324</v>
      </c>
      <c r="F41" s="4">
        <f>D36+E36+F36+H36+I36+J36</f>
        <v>0.72875323554788618</v>
      </c>
      <c r="G41" s="4">
        <f>E36+F36+G36+H36+I36+J36</f>
        <v>0.73425366695427108</v>
      </c>
    </row>
    <row r="42" spans="2:10" x14ac:dyDescent="0.3">
      <c r="B42" s="1" t="s">
        <v>12</v>
      </c>
      <c r="C42" s="4">
        <f>C36+D36+G36</f>
        <v>0.40196289905090599</v>
      </c>
      <c r="D42" s="4">
        <f>C36</f>
        <v>0.13503019844693703</v>
      </c>
      <c r="E42" s="1">
        <v>0</v>
      </c>
      <c r="F42" s="4">
        <f>D36</f>
        <v>0.13071613459879206</v>
      </c>
      <c r="G42" s="4">
        <f>E36+G36+J36</f>
        <v>0.38556945642795515</v>
      </c>
    </row>
    <row r="43" spans="2:10" x14ac:dyDescent="0.3">
      <c r="B43" s="1" t="s">
        <v>13</v>
      </c>
      <c r="C43" s="4">
        <f>C36+G36+H36</f>
        <v>0.39225625539257986</v>
      </c>
      <c r="D43" s="4">
        <f>C36+G36</f>
        <v>0.27124676445211393</v>
      </c>
      <c r="E43" s="4">
        <f>C36+E36+F36+G36+H36+I36+J36</f>
        <v>0.86928386540120817</v>
      </c>
      <c r="F43" s="1">
        <v>0</v>
      </c>
      <c r="G43" s="4">
        <f>C36+E36+G36+H36+I36+J36</f>
        <v>0.74266609145815365</v>
      </c>
    </row>
    <row r="44" spans="2:10" x14ac:dyDescent="0.3">
      <c r="B44" s="1" t="s">
        <v>11</v>
      </c>
      <c r="C44" s="4">
        <f>C36+D36+F36+G36</f>
        <v>0.52858067299396039</v>
      </c>
      <c r="D44" s="4">
        <f>C36+D36</f>
        <v>0.26574633304572909</v>
      </c>
      <c r="E44" s="4">
        <f>C36+D36+F36+H36+I36</f>
        <v>0.61443054357204485</v>
      </c>
      <c r="F44" s="4">
        <f>D36+F36</f>
        <v>0.25733390854184646</v>
      </c>
      <c r="G44" s="1">
        <v>0</v>
      </c>
    </row>
    <row r="46" spans="2:10" x14ac:dyDescent="0.3">
      <c r="B46" t="s">
        <v>59</v>
      </c>
    </row>
    <row r="47" spans="2:10" x14ac:dyDescent="0.3">
      <c r="B47" s="1" t="s">
        <v>23</v>
      </c>
      <c r="C47" s="1" t="s">
        <v>9</v>
      </c>
      <c r="D47" s="1" t="s">
        <v>10</v>
      </c>
      <c r="E47" s="1" t="s">
        <v>12</v>
      </c>
      <c r="F47" s="1" t="s">
        <v>13</v>
      </c>
      <c r="G47" s="1" t="s">
        <v>11</v>
      </c>
      <c r="I47" t="s">
        <v>24</v>
      </c>
      <c r="J47" s="5">
        <f>MAX(C31:J35)-MIN(C31:J35)</f>
        <v>2.3563778348105614E-2</v>
      </c>
    </row>
    <row r="48" spans="2:10" x14ac:dyDescent="0.3">
      <c r="B48" s="1" t="s">
        <v>9</v>
      </c>
      <c r="C48" s="1">
        <v>0</v>
      </c>
      <c r="D48" s="4">
        <f>$J$48*MAX(ABS(C31-C32),ABS(D31-D32), ABS(E31-E32), ABS(F31-F32), ABS(G31-G32), ABS(H31-H32), ABS(J31-J32))</f>
        <v>0.27577756681385229</v>
      </c>
      <c r="E48" s="4">
        <f>J48*MAX(ABS(C31-C33), ABS(D31-D33), ABS(G31-G33))</f>
        <v>0.33093308017662282</v>
      </c>
      <c r="F48" s="4">
        <f>J48*MAX(ABS(C31-C34), ABS(G31-G34), ABS(H31-H34))</f>
        <v>0.52266415043768222</v>
      </c>
      <c r="G48" s="4">
        <f>J48*MAX(ABS(C31-C35), ABS(D31-D35), ABS(F31-F35), ABS(G31-G35))</f>
        <v>0.3493182512975464</v>
      </c>
      <c r="I48" t="s">
        <v>25</v>
      </c>
      <c r="J48">
        <f>1/J47</f>
        <v>42.438015891470734</v>
      </c>
    </row>
    <row r="49" spans="2:7" x14ac:dyDescent="0.3">
      <c r="B49" s="1" t="s">
        <v>10</v>
      </c>
      <c r="C49" s="4">
        <f>J48*MAX(ABS(I32-I31))</f>
        <v>0.15252650401084278</v>
      </c>
      <c r="D49" s="1">
        <v>0</v>
      </c>
      <c r="E49" s="4">
        <f>J48*MAX(ABS(C32-C33))</f>
        <v>5.5155513362770511E-2</v>
      </c>
      <c r="F49" s="4">
        <f>J48*MAX(ABS(C32-C34), ABS(G32-G34))</f>
        <v>0.24688658362382992</v>
      </c>
      <c r="G49" s="4">
        <f>J48*MAX(ABS(C32-C35), ABS(D32-D35))</f>
        <v>7.3540684483694121E-2</v>
      </c>
    </row>
    <row r="50" spans="2:7" x14ac:dyDescent="0.3">
      <c r="B50" s="1" t="s">
        <v>12</v>
      </c>
      <c r="C50" s="4">
        <f>J48*MAX(ABS(E33-E31), ABS(F33-F31),ABS(H33-H31),ABS(I33-I31), ABS(J33-J31))</f>
        <v>0.36466106706040574</v>
      </c>
      <c r="D50" s="4">
        <f>J48*MAX(ABS(D33-D32),ABS(E33-E32),ABS(F33-F32),ABS(G33-G32),ABS(H33-H32),ABS(I33-I32),ABS(J33-J32))</f>
        <v>0.34120268485158134</v>
      </c>
      <c r="E50" s="1">
        <v>0</v>
      </c>
      <c r="F50" s="4">
        <f>J48*MAX(ABS(C33-C34), ABS(E33-E34), ABS(F33-F34), ABS(G33-G34), ABS(H33-H34), ABS(I33-I34), ABS(J33-J34))</f>
        <v>0.19173107026105943</v>
      </c>
      <c r="G50" s="4">
        <f>J48*MAX(ABS(C33-C35), ABS(D33-D35), ABS(F33-F35), ABS(H33-H35), ABS(I33-I35))</f>
        <v>0.12292367199293744</v>
      </c>
    </row>
    <row r="51" spans="2:7" x14ac:dyDescent="0.3">
      <c r="B51" s="1" t="s">
        <v>13</v>
      </c>
      <c r="C51" s="4">
        <f>J48*MAX(ABS(D34-D31), ABS(E34-E31), ABS(F34-F31), ABS(I34-I31), ABS(J34-J31))</f>
        <v>0.32433796829891859</v>
      </c>
      <c r="D51" s="4">
        <f>J48*MAX(ABS(D34-D32),ABS(E34-E32),ABS(F34-F32), ABS(H34-H32), ABS(I34-I32), ABS(J34-J32))</f>
        <v>0.30243600146279576</v>
      </c>
      <c r="E51" s="4">
        <f>J48*ABS(D34-D33)</f>
        <v>0.27880818884851488</v>
      </c>
      <c r="F51" s="1">
        <v>0</v>
      </c>
      <c r="G51" s="4">
        <f>J48*MAX(ABS(D34-D35), ABS(F34-F35))</f>
        <v>0.31897547029279233</v>
      </c>
    </row>
    <row r="52" spans="2:7" x14ac:dyDescent="0.3">
      <c r="B52" s="1" t="s">
        <v>11</v>
      </c>
      <c r="C52" s="4">
        <f>J48*MAX(ABS(E35-E31), ABS(H35-H31), ABS(I35-I31), ABS(J35-J31))</f>
        <v>0.5049799735803413</v>
      </c>
      <c r="D52" s="4">
        <f>J48*MAX(ABS(E35-E32), ABS(F35-F32), ABS(G35-G32), ABS(H35-H32), ABS(I35-I32), ABS(J35-J32))</f>
        <v>0.51180402727737262</v>
      </c>
      <c r="E52" s="4">
        <f>J48*MAX(ABS(E35-E33), ABS(G35-G33), ABS(J35-J33))</f>
        <v>0.17060134242579128</v>
      </c>
      <c r="F52" s="4">
        <f>J48*MAX(ABS(C35-C34), ABS(E35-E34), ABS(G35-G34), ABS(H35-H34), ABS(I35-I34), ABS(J35-J34))</f>
        <v>0.26613809418423418</v>
      </c>
      <c r="G52" s="1">
        <v>0</v>
      </c>
    </row>
    <row r="54" spans="2:7" x14ac:dyDescent="0.3">
      <c r="B54" t="s">
        <v>60</v>
      </c>
    </row>
    <row r="55" spans="2:7" x14ac:dyDescent="0.3">
      <c r="B55" t="s">
        <v>26</v>
      </c>
      <c r="C55">
        <f>(C41+C42+C43+C44+D42+D43+D44+E43+E44+F44+D40+E40+E41+F40+F41+F42+G43+G42+G41+G40)/20</f>
        <v>0.5</v>
      </c>
    </row>
    <row r="56" spans="2:7" x14ac:dyDescent="0.3">
      <c r="B56" t="s">
        <v>27</v>
      </c>
      <c r="C56" s="5">
        <f>(SUM(C49:C52)+SUM(D48:G48)+SUM(D50:D52)+SUM(E49:G49)+F50+G50+G51+F52+E52+E51)/20</f>
        <v>0.28527009473717929</v>
      </c>
    </row>
    <row r="58" spans="2:7" x14ac:dyDescent="0.3">
      <c r="B58" t="s">
        <v>28</v>
      </c>
      <c r="G58" t="s">
        <v>32</v>
      </c>
    </row>
    <row r="59" spans="2:7" x14ac:dyDescent="0.3">
      <c r="B59" t="s">
        <v>29</v>
      </c>
    </row>
    <row r="60" spans="2:7" x14ac:dyDescent="0.3">
      <c r="B60" t="s">
        <v>30</v>
      </c>
    </row>
    <row r="62" spans="2:7" x14ac:dyDescent="0.3">
      <c r="B62" t="s">
        <v>31</v>
      </c>
    </row>
    <row r="64" spans="2:7" x14ac:dyDescent="0.3">
      <c r="B64" s="1" t="s">
        <v>61</v>
      </c>
      <c r="C64" s="1"/>
      <c r="D64" s="1"/>
      <c r="E64" s="1"/>
      <c r="F64" t="s">
        <v>62</v>
      </c>
    </row>
    <row r="65" spans="2:7" x14ac:dyDescent="0.3">
      <c r="B65" s="1" t="s">
        <v>1</v>
      </c>
      <c r="C65" s="4">
        <f>SUM(C40:G40)-SUM(C41:C44)</f>
        <v>-0.44348576358930103</v>
      </c>
      <c r="D65" s="1">
        <v>3</v>
      </c>
      <c r="E65" s="1" t="s">
        <v>9</v>
      </c>
    </row>
    <row r="66" spans="2:7" x14ac:dyDescent="0.3">
      <c r="B66" s="1" t="s">
        <v>2</v>
      </c>
      <c r="C66" s="4">
        <f>SUM(C41:G41)-SUM(D40:D44)</f>
        <v>2.4538395168248499</v>
      </c>
      <c r="D66" s="1">
        <v>1</v>
      </c>
      <c r="E66" s="1" t="s">
        <v>10</v>
      </c>
      <c r="F66" t="s">
        <v>64</v>
      </c>
    </row>
    <row r="67" spans="2:7" x14ac:dyDescent="0.3">
      <c r="B67" s="1" t="s">
        <v>3</v>
      </c>
      <c r="C67" s="4">
        <f>SUM(C42:G42)-SUM(E40:E44)</f>
        <v>-1.8934426229508203</v>
      </c>
      <c r="D67" s="1">
        <v>5</v>
      </c>
      <c r="E67" s="1" t="s">
        <v>12</v>
      </c>
      <c r="F67" s="1">
        <f>(D65+D71)/2</f>
        <v>3</v>
      </c>
      <c r="G67" s="1" t="s">
        <v>9</v>
      </c>
    </row>
    <row r="68" spans="2:7" x14ac:dyDescent="0.3">
      <c r="B68" s="1" t="s">
        <v>4</v>
      </c>
      <c r="C68" s="4">
        <f>SUM(C43:G43)-SUM(F40:F44)</f>
        <v>0.55090595340811066</v>
      </c>
      <c r="D68" s="1">
        <v>2</v>
      </c>
      <c r="E68" s="1" t="s">
        <v>13</v>
      </c>
      <c r="F68" s="1">
        <f t="shared" ref="F68:F71" si="19">(D66+D72)/2</f>
        <v>1</v>
      </c>
      <c r="G68" s="1" t="s">
        <v>10</v>
      </c>
    </row>
    <row r="69" spans="2:7" x14ac:dyDescent="0.3">
      <c r="B69" s="1" t="s">
        <v>5</v>
      </c>
      <c r="C69" s="4">
        <f>SUM(C44:G44)-SUM(G40:G44)</f>
        <v>-0.66781708369283899</v>
      </c>
      <c r="D69" s="1">
        <v>4</v>
      </c>
      <c r="E69" s="1" t="s">
        <v>11</v>
      </c>
      <c r="F69" s="1">
        <f t="shared" si="19"/>
        <v>4.5</v>
      </c>
      <c r="G69" s="1" t="s">
        <v>12</v>
      </c>
    </row>
    <row r="70" spans="2:7" x14ac:dyDescent="0.3">
      <c r="B70" s="9"/>
      <c r="C70" s="10"/>
      <c r="D70" s="10"/>
      <c r="E70" s="11"/>
      <c r="F70" s="1">
        <f t="shared" si="19"/>
        <v>2</v>
      </c>
      <c r="G70" s="1" t="s">
        <v>13</v>
      </c>
    </row>
    <row r="71" spans="2:7" x14ac:dyDescent="0.3">
      <c r="B71" s="1" t="s">
        <v>33</v>
      </c>
      <c r="C71" s="1">
        <f>SUM(C48:G48)-SUM(C48:C52)</f>
        <v>0.13218753577519515</v>
      </c>
      <c r="D71" s="1">
        <v>3</v>
      </c>
      <c r="E71" s="1" t="s">
        <v>9</v>
      </c>
      <c r="F71" s="1">
        <f t="shared" si="19"/>
        <v>4.5</v>
      </c>
      <c r="G71" s="1" t="s">
        <v>11</v>
      </c>
    </row>
    <row r="72" spans="2:7" x14ac:dyDescent="0.3">
      <c r="B72" s="1" t="s">
        <v>34</v>
      </c>
      <c r="C72" s="4">
        <f>SUM(C49:G49)-SUM(D48:D52)</f>
        <v>-0.90311099492446467</v>
      </c>
      <c r="D72" s="1">
        <v>1</v>
      </c>
      <c r="E72" s="1" t="s">
        <v>10</v>
      </c>
    </row>
    <row r="73" spans="2:7" x14ac:dyDescent="0.3">
      <c r="B73" s="1" t="s">
        <v>35</v>
      </c>
      <c r="C73" s="4">
        <f>SUM(C50:G50)-SUM(E48:E52)</f>
        <v>0.1850203693522845</v>
      </c>
      <c r="D73" s="1">
        <v>4</v>
      </c>
      <c r="E73" s="1" t="s">
        <v>12</v>
      </c>
      <c r="G73" t="s">
        <v>63</v>
      </c>
    </row>
    <row r="74" spans="2:7" x14ac:dyDescent="0.3">
      <c r="B74" s="1" t="s">
        <v>36</v>
      </c>
      <c r="C74" s="4">
        <f>SUM(C51:G51)-SUM(F48:F52)</f>
        <v>-2.8622696037841067E-3</v>
      </c>
      <c r="D74" s="1">
        <v>2</v>
      </c>
      <c r="E74" s="1" t="s">
        <v>13</v>
      </c>
      <c r="G74" t="s">
        <v>38</v>
      </c>
    </row>
    <row r="75" spans="2:7" x14ac:dyDescent="0.3">
      <c r="B75" s="1" t="s">
        <v>37</v>
      </c>
      <c r="C75" s="4">
        <f>SUM(C52:G52)-SUM(G48:G52)</f>
        <v>0.58876535940076891</v>
      </c>
      <c r="D75" s="1">
        <v>5</v>
      </c>
      <c r="E75" s="1" t="s">
        <v>11</v>
      </c>
      <c r="G75" t="s">
        <v>39</v>
      </c>
    </row>
    <row r="76" spans="2:7" x14ac:dyDescent="0.3">
      <c r="G76" t="s">
        <v>40</v>
      </c>
    </row>
    <row r="77" spans="2:7" x14ac:dyDescent="0.3">
      <c r="G77" t="s">
        <v>41</v>
      </c>
    </row>
    <row r="81" spans="3:7" x14ac:dyDescent="0.3">
      <c r="C81" t="s">
        <v>42</v>
      </c>
      <c r="D81" t="s">
        <v>43</v>
      </c>
    </row>
    <row r="82" spans="3:7" x14ac:dyDescent="0.3">
      <c r="C82" t="s">
        <v>44</v>
      </c>
      <c r="D82" t="s">
        <v>45</v>
      </c>
    </row>
    <row r="83" spans="3:7" x14ac:dyDescent="0.3">
      <c r="C83" t="s">
        <v>46</v>
      </c>
      <c r="D83" t="s">
        <v>45</v>
      </c>
    </row>
    <row r="84" spans="3:7" x14ac:dyDescent="0.3">
      <c r="C84" t="s">
        <v>47</v>
      </c>
      <c r="D84" t="s">
        <v>45</v>
      </c>
    </row>
    <row r="85" spans="3:7" x14ac:dyDescent="0.3">
      <c r="C85" t="s">
        <v>48</v>
      </c>
      <c r="D85" t="s">
        <v>45</v>
      </c>
    </row>
    <row r="86" spans="3:7" x14ac:dyDescent="0.3">
      <c r="C86" t="s">
        <v>49</v>
      </c>
      <c r="D86" t="s">
        <v>50</v>
      </c>
    </row>
    <row r="87" spans="3:7" x14ac:dyDescent="0.3">
      <c r="C87" t="s">
        <v>51</v>
      </c>
      <c r="D87" t="s">
        <v>52</v>
      </c>
    </row>
    <row r="90" spans="3:7" ht="28.8" x14ac:dyDescent="0.3">
      <c r="E90" s="6" t="s">
        <v>53</v>
      </c>
      <c r="F90" s="6" t="s">
        <v>54</v>
      </c>
      <c r="G90" s="6" t="s">
        <v>55</v>
      </c>
    </row>
    <row r="91" spans="3:7" x14ac:dyDescent="0.3">
      <c r="E91" s="7" t="s">
        <v>10</v>
      </c>
      <c r="F91" s="8">
        <v>1</v>
      </c>
      <c r="G91" s="8">
        <v>1</v>
      </c>
    </row>
    <row r="92" spans="3:7" x14ac:dyDescent="0.3">
      <c r="E92" s="7" t="s">
        <v>13</v>
      </c>
      <c r="F92" s="8">
        <v>2</v>
      </c>
      <c r="G92" s="8">
        <v>2</v>
      </c>
    </row>
    <row r="93" spans="3:7" x14ac:dyDescent="0.3">
      <c r="E93" s="7" t="s">
        <v>9</v>
      </c>
      <c r="F93" s="8">
        <v>3</v>
      </c>
      <c r="G93" s="8">
        <v>3</v>
      </c>
    </row>
    <row r="94" spans="3:7" x14ac:dyDescent="0.3">
      <c r="E94" s="7" t="s">
        <v>12</v>
      </c>
      <c r="F94" s="8">
        <v>4.5</v>
      </c>
      <c r="G94" s="8">
        <v>4</v>
      </c>
    </row>
    <row r="95" spans="3:7" x14ac:dyDescent="0.3">
      <c r="E95" s="7" t="s">
        <v>11</v>
      </c>
      <c r="F95" s="8">
        <v>4.5</v>
      </c>
      <c r="G95" s="8">
        <v>4</v>
      </c>
    </row>
  </sheetData>
  <mergeCells count="1">
    <mergeCell ref="B70:E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Mihaela Manea</dc:creator>
  <cp:lastModifiedBy>Mihaela Manea</cp:lastModifiedBy>
  <dcterms:created xsi:type="dcterms:W3CDTF">2026-04-08T13:28:11Z</dcterms:created>
  <dcterms:modified xsi:type="dcterms:W3CDTF">2026-07-08T11:29:27Z</dcterms:modified>
</cp:coreProperties>
</file>